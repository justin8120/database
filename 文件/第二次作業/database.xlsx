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客戶資料表 (Customers)" sheetId="1" r:id="rId5"/>
    <sheet state="visible" name="客戶真實資料" sheetId="2" r:id="rId6"/>
    <sheet state="visible" name="真實資料" sheetId="3" r:id="rId7"/>
    <sheet state="visible" name="原料進貨紀錄表 (Purchase_Records)" sheetId="4" r:id="rId8"/>
    <sheet state="visible" name="進貨單真實資料" sheetId="5" r:id="rId9"/>
    <sheet state="visible" name="不鏽鋼產品規格表 (Products)" sheetId="6" r:id="rId10"/>
    <sheet state="visible" name="產品真實資料" sheetId="7" r:id="rId11"/>
    <sheet state="visible" name="銷售訂單總檔 (Sales_Orders)" sheetId="8" r:id="rId12"/>
    <sheet state="visible" name="訂單真實資料" sheetId="9" r:id="rId13"/>
    <sheet state="visible" name="訂單明細表 (Order_Details) " sheetId="10" r:id="rId14"/>
  </sheets>
  <definedNames/>
  <calcPr/>
</workbook>
</file>

<file path=xl/sharedStrings.xml><?xml version="1.0" encoding="utf-8"?>
<sst xmlns="http://schemas.openxmlformats.org/spreadsheetml/2006/main" count="484" uniqueCount="305">
  <si>
    <t xml:space="preserve">欄位/屬性名稱 (Attribute)
</t>
  </si>
  <si>
    <t>完整性限制</t>
  </si>
  <si>
    <t>欄位說明 (Description)</t>
  </si>
  <si>
    <t>customer_id</t>
  </si>
  <si>
    <t>格式為'C-年份-3位流水號'，若是外國客戶則為'C-國家代碼-年份-3位流水號'，國家代碼採用ISO 3166-1二位字母代碼</t>
  </si>
  <si>
    <t>客戶唯一識別碼</t>
  </si>
  <si>
    <t>customer_name</t>
  </si>
  <si>
    <t>小於100個字，不得為空</t>
  </si>
  <si>
    <t>客戶公司名稱</t>
  </si>
  <si>
    <t>contact_person</t>
  </si>
  <si>
    <t>格式為'名-中間名-性'，無中間名則為'名-性'</t>
  </si>
  <si>
    <t>主要聯絡人</t>
  </si>
  <si>
    <t>phone_number</t>
  </si>
  <si>
    <t>台灣國內格式為 區碼-電話號碼，外國則必須以 + 開頭，後續依該國編碼規則以連字號 - 分隔國碼、區碼與號碼，不得為空</t>
  </si>
  <si>
    <t>聯絡電話</t>
  </si>
  <si>
    <t>shipping_address</t>
  </si>
  <si>
    <t>小於255個字，不得為空</t>
  </si>
  <si>
    <t>送貨與發票地址</t>
  </si>
  <si>
    <t>credit_limit</t>
  </si>
  <si>
    <t>19位(含小數點後4位)的高精度浮點數，必須&gt;0</t>
  </si>
  <si>
    <t>信用額度</t>
  </si>
  <si>
    <t>客戶編號 (customer_id)</t>
  </si>
  <si>
    <t>客戶公司名稱 (customer_name)</t>
  </si>
  <si>
    <t>主要聯絡人 (contact_person)</t>
  </si>
  <si>
    <t>聯絡電話 (phone_number)</t>
  </si>
  <si>
    <t>送貨與發票地址 (shipping_address)</t>
  </si>
  <si>
    <t>信用額度 (credit_limit)</t>
  </si>
  <si>
    <t>C-US-2026-001</t>
  </si>
  <si>
    <t>Fastener World Inc.</t>
  </si>
  <si>
    <t>John-Smith</t>
  </si>
  <si>
    <t>123 Industrial Pkwy, Cleveland, OH, USA</t>
  </si>
  <si>
    <t>C-DE-2026-002</t>
  </si>
  <si>
    <t>EuroBolt GmbH</t>
  </si>
  <si>
    <t>Hans-Müller</t>
  </si>
  <si>
    <t>Kaiserstrasse 45, Frankfurt, Germany</t>
  </si>
  <si>
    <t>C-2026-003</t>
  </si>
  <si>
    <t>Asia Express Hardware</t>
  </si>
  <si>
    <t>志明-陳</t>
  </si>
  <si>
    <t>02-27123456</t>
  </si>
  <si>
    <t>台北市中山區民生東路三段100號</t>
  </si>
  <si>
    <t>C-US-2026-004</t>
  </si>
  <si>
    <t>Global Screw Supply</t>
  </si>
  <si>
    <t>Sarah-Jenkins</t>
  </si>
  <si>
    <t>789 Commerce Way, Houston, TX, USA</t>
  </si>
  <si>
    <t>C-SE-2026-005</t>
  </si>
  <si>
    <t>Nordic Fastening AB</t>
  </si>
  <si>
    <t>Erik-Larsson</t>
  </si>
  <si>
    <t>Storgatan 12, Stockholm, Sweden</t>
  </si>
  <si>
    <t>C-2026-006</t>
  </si>
  <si>
    <t>大順工業螺絲行</t>
  </si>
  <si>
    <t>建國-林</t>
  </si>
  <si>
    <t>07-3812345</t>
  </si>
  <si>
    <t>高雄市三民區建工路500號</t>
  </si>
  <si>
    <t>C-SG-2026-007</t>
  </si>
  <si>
    <t>Pacific Rim Components</t>
  </si>
  <si>
    <t>David-Lee</t>
  </si>
  <si>
    <t>10 Changi Business Park, Singapore</t>
  </si>
  <si>
    <t>C-AU-2026-008</t>
  </si>
  <si>
    <t>Oz Screw &amp; Bolt</t>
  </si>
  <si>
    <t>Mark*Warner</t>
  </si>
  <si>
    <t>45 George St, Sydney, NSW, Australia</t>
  </si>
  <si>
    <t>C-JP-2026-009</t>
  </si>
  <si>
    <t>Nippon Fasteners Co.</t>
  </si>
  <si>
    <t>藤健-佐</t>
  </si>
  <si>
    <t>1-2-3 Marunouchi, Chiyoda-ku, Tokyo, Japan</t>
  </si>
  <si>
    <t>C-2026-010</t>
  </si>
  <si>
    <t>聯發精密五金</t>
  </si>
  <si>
    <t>美玲-張</t>
  </si>
  <si>
    <t>04-23456789</t>
  </si>
  <si>
    <t>台中市烏日區溪南路一段200號</t>
  </si>
  <si>
    <t>C-GB-2026-011</t>
  </si>
  <si>
    <t>UK Screw Solutions</t>
  </si>
  <si>
    <t>James-Wong</t>
  </si>
  <si>
    <t>56 Industrial Estate, Birmingham, UK</t>
  </si>
  <si>
    <t>C-CA-2026-012</t>
  </si>
  <si>
    <t>Canada Bolt Depot</t>
  </si>
  <si>
    <t>Robert-Tremblay</t>
  </si>
  <si>
    <t>999 Rue du Rhone, Montreal, QC, Canada</t>
  </si>
  <si>
    <t>C-MX-2026-013</t>
  </si>
  <si>
    <t>Latam Hardware S.A.</t>
  </si>
  <si>
    <t>Carlos-Gomez</t>
  </si>
  <si>
    <t>Av. Reforma 456, Mexico City, Mexico</t>
  </si>
  <si>
    <t>C-2026-014</t>
  </si>
  <si>
    <t>東台設備製造</t>
  </si>
  <si>
    <t>大同-王</t>
  </si>
  <si>
    <t>06-2112345</t>
  </si>
  <si>
    <t>台南市永康區中正北路800號</t>
  </si>
  <si>
    <t>C-CH-2026-015</t>
  </si>
  <si>
    <t>Alpine Fixings SA</t>
  </si>
  <si>
    <t>Pierre-Dubois</t>
  </si>
  <si>
    <t>Route de Chêne 30, Geneva, Switzerland</t>
  </si>
  <si>
    <t>訂單編號 (order_id)</t>
  </si>
  <si>
    <t>產品編號 (product_id)</t>
  </si>
  <si>
    <t>訂購數量 (quantity)</t>
  </si>
  <si>
    <t>高精度單價 (unit_price)</t>
  </si>
  <si>
    <t>包裝方式 (packaging_type)</t>
  </si>
  <si>
    <t>生產進度 (production_status)</t>
  </si>
  <si>
    <t>O-2026-06-0001</t>
  </si>
  <si>
    <t>PR-SS-0001</t>
  </si>
  <si>
    <t>一箱</t>
  </si>
  <si>
    <t>打頭中</t>
  </si>
  <si>
    <t>PR-SS-0002</t>
  </si>
  <si>
    <t>待進料</t>
  </si>
  <si>
    <t>PR-SS-0003</t>
  </si>
  <si>
    <t>一包</t>
  </si>
  <si>
    <t>O-2026-06-0002</t>
  </si>
  <si>
    <t>PR-SS-0004</t>
  </si>
  <si>
    <t>搓牙中</t>
  </si>
  <si>
    <t>PR-SS-0005</t>
  </si>
  <si>
    <t>O-2026-06-0003</t>
  </si>
  <si>
    <t>PR-SS-0006</t>
  </si>
  <si>
    <t>散裝</t>
  </si>
  <si>
    <t>待包裝</t>
  </si>
  <si>
    <t>O-2026-06-0004</t>
  </si>
  <si>
    <t>PR-SS-0007</t>
  </si>
  <si>
    <t>O-2026-06-0006</t>
  </si>
  <si>
    <t>PR-SS-0008</t>
  </si>
  <si>
    <t>已完成</t>
  </si>
  <si>
    <t>O-2026-06-0007</t>
  </si>
  <si>
    <t>PR-SS-0009</t>
  </si>
  <si>
    <t>O-2026-06-0009</t>
  </si>
  <si>
    <t>PR-SS-0010</t>
  </si>
  <si>
    <t>O-2026-06-0010</t>
  </si>
  <si>
    <t>PR-SS-0011</t>
  </si>
  <si>
    <t>O-2026-06-0011</t>
  </si>
  <si>
    <t>PR-SS-0012</t>
  </si>
  <si>
    <t>O-2026-06-0014</t>
  </si>
  <si>
    <t>PR-SS-0013</t>
  </si>
  <si>
    <t>PR-SS-0014</t>
  </si>
  <si>
    <t>O-2026-06-0015</t>
  </si>
  <si>
    <t>PR-SS-0015</t>
  </si>
  <si>
    <t>purchase_id</t>
  </si>
  <si>
    <t>格式為'PU-年份-4位流水號'</t>
  </si>
  <si>
    <t>進貨單號唯一識別碼</t>
  </si>
  <si>
    <t>supplier_name</t>
  </si>
  <si>
    <t>供應商名稱（直接記錄字串，省去獨立的供應商主檔）</t>
  </si>
  <si>
    <t>product_id</t>
  </si>
  <si>
    <t>格式為'PR-SS-4位流水號'</t>
  </si>
  <si>
    <t>採購的原料或產品編號</t>
  </si>
  <si>
    <t>quantity</t>
  </si>
  <si>
    <t>整數，必須&gt;0，不得為空</t>
  </si>
  <si>
    <t>進貨採購數量</t>
  </si>
  <si>
    <t>total_amount</t>
  </si>
  <si>
    <t>14位(含小數點後4位)的高精度浮點數，必須&gt;0，不得為空</t>
  </si>
  <si>
    <t>進貨總金額</t>
  </si>
  <si>
    <t>purchase_time</t>
  </si>
  <si>
    <t>精確到時分秒的日期，不得為空</t>
  </si>
  <si>
    <t>進貨時間</t>
  </si>
  <si>
    <t>employee_id</t>
  </si>
  <si>
    <t>格式為'EMP-PU-流水號'，不得為空，PU為進貨員</t>
  </si>
  <si>
    <t>負責該筆進貨採購與流覽權限控管的員工編號</t>
  </si>
  <si>
    <t>進貨單號 (purchase_id)</t>
  </si>
  <si>
    <t>供應商名稱 (supplier_name)</t>
  </si>
  <si>
    <t>進貨採購數量 (quantity)</t>
  </si>
  <si>
    <t>進貨總金額 (total_amount)</t>
  </si>
  <si>
    <t>進貨時間 (purchase_time)</t>
  </si>
  <si>
    <t>員工編號 (employee_id)</t>
  </si>
  <si>
    <t>PU-2026-0001</t>
  </si>
  <si>
    <t>華新麗華股份有限公司</t>
  </si>
  <si>
    <t>EMP-PU-01</t>
  </si>
  <si>
    <t>PU-2026-0002</t>
  </si>
  <si>
    <t>燁興企業股份有限公司</t>
  </si>
  <si>
    <t>PU-2026-0003</t>
  </si>
  <si>
    <t>大成不鏽鋼工業</t>
  </si>
  <si>
    <t>EMP-PU-02</t>
  </si>
  <si>
    <t>PU-2026-0004</t>
  </si>
  <si>
    <t>官田鋼鐵股份有限公司</t>
  </si>
  <si>
    <t>PU-2026-0005</t>
  </si>
  <si>
    <t>強新工業股份有限公司</t>
  </si>
  <si>
    <t>PU-2026-0006</t>
  </si>
  <si>
    <t>PU-2026-0007</t>
  </si>
  <si>
    <t>PU-2026-0008</t>
  </si>
  <si>
    <t>晉禾企業股份有限公司</t>
  </si>
  <si>
    <t>PU-2026-0009</t>
  </si>
  <si>
    <t>PU-2026-0010</t>
  </si>
  <si>
    <t>PU-2026-0011</t>
  </si>
  <si>
    <t>PU-2026-0012</t>
  </si>
  <si>
    <t>PU-2026-0013</t>
  </si>
  <si>
    <t>PU-2026-0014</t>
  </si>
  <si>
    <t>東明不鏽鋼五金</t>
  </si>
  <si>
    <t>PU-2026-0015</t>
  </si>
  <si>
    <t>產品規格唯一識別碼</t>
  </si>
  <si>
    <t>material_grade</t>
  </si>
  <si>
    <t>小於10個字，不得為空</t>
  </si>
  <si>
    <t xml:space="preserve">材質參數（如 304, 316）  </t>
  </si>
  <si>
    <t>thread_system</t>
  </si>
  <si>
    <t>只能選擇'公制'、 '英制'及 '美制'其中一個，不得為空</t>
  </si>
  <si>
    <t>規範（公制/英制/美制）</t>
  </si>
  <si>
    <t>thread_size</t>
  </si>
  <si>
    <t xml:space="preserve">直徑規格（如 M5, M10） </t>
  </si>
  <si>
    <t>thread_pitch</t>
  </si>
  <si>
    <t>只能選擇'粗牙'、 '細牙'及 '自攻牙'其中一個，不得為空</t>
  </si>
  <si>
    <t>牙型（粗牙/細牙/自攻牙）</t>
  </si>
  <si>
    <t>head_type</t>
  </si>
  <si>
    <t>小於30個字</t>
  </si>
  <si>
    <t>頭型與槽型外觀</t>
  </si>
  <si>
    <t>length_mm</t>
  </si>
  <si>
    <t>6位(含小數點後2位)的高精度浮點數,必須&gt;0</t>
  </si>
  <si>
    <t>螺絲長度 (mm)</t>
  </si>
  <si>
    <t>unit</t>
  </si>
  <si>
    <t>只能選擇'千隻'、 '公斤'及 '件'其中一個，不得為空</t>
  </si>
  <si>
    <t>計量單位（如：千隻）</t>
  </si>
  <si>
    <t>stock</t>
  </si>
  <si>
    <t>&gt;=0的整數，不得為空</t>
  </si>
  <si>
    <t>庫存(限制&gt;0)</t>
  </si>
  <si>
    <t>材質參數 (material_grade)</t>
  </si>
  <si>
    <t>規範 (thread_system)</t>
  </si>
  <si>
    <t>直徑規格 (thread_size)</t>
  </si>
  <si>
    <t>牙型 (thread_pitch)</t>
  </si>
  <si>
    <t>頭型與槽型外觀 (head_type)</t>
  </si>
  <si>
    <t>螺絲長度 (length_mm)</t>
  </si>
  <si>
    <t>計量單位 (unit)</t>
  </si>
  <si>
    <t>庫存(stock)</t>
  </si>
  <si>
    <t>公制</t>
  </si>
  <si>
    <t>M5</t>
  </si>
  <si>
    <t>粗牙</t>
  </si>
  <si>
    <t>六角頭螺絲 (Hex Head)</t>
  </si>
  <si>
    <t>千隻</t>
  </si>
  <si>
    <t>M6</t>
  </si>
  <si>
    <t>內六角凹端緊定 (Socket Set)</t>
  </si>
  <si>
    <t>M8</t>
  </si>
  <si>
    <t>盤頭十字螺絲 (Pan Phillips)</t>
  </si>
  <si>
    <t>M10</t>
  </si>
  <si>
    <t>細牙</t>
  </si>
  <si>
    <t>六角承穴頭螺絲 (Socket Cap)</t>
  </si>
  <si>
    <t>英制</t>
  </si>
  <si>
    <t>外六角螺絲 (Hex Bolt)</t>
  </si>
  <si>
    <t>馬車螺絲 (Carriage Bolt)</t>
  </si>
  <si>
    <t>公斤</t>
  </si>
  <si>
    <t>美制</t>
  </si>
  <si>
    <t>#10</t>
  </si>
  <si>
    <t>自攻牙</t>
  </si>
  <si>
    <t>平頭十字自攻螺絲 (Flat Phillips)</t>
  </si>
  <si>
    <t>重型六角螺絲 (Heavy Hex)</t>
  </si>
  <si>
    <t>件</t>
  </si>
  <si>
    <t>M12</t>
  </si>
  <si>
    <t>吊環螺絲 (Eye Bolt)</t>
  </si>
  <si>
    <t>M4</t>
  </si>
  <si>
    <t>大扁頭十字螺絲 (Truss Phillips)</t>
  </si>
  <si>
    <t>M16</t>
  </si>
  <si>
    <t>外六角鋼結構螺絲</t>
  </si>
  <si>
    <t>1/4-20</t>
  </si>
  <si>
    <t>內六角鈕扣頭 (Button Socket)</t>
  </si>
  <si>
    <t>M3</t>
  </si>
  <si>
    <t>圓頭喇叭口自攻螺絲</t>
  </si>
  <si>
    <t>M20</t>
  </si>
  <si>
    <t>高強度六角螺栓</t>
  </si>
  <si>
    <t>半圓頭內六角螺絲</t>
  </si>
  <si>
    <t>order_id</t>
  </si>
  <si>
    <t>格式為'O-年份-月份-4位流水號'</t>
  </si>
  <si>
    <t>訂單主檔唯一識別碼</t>
  </si>
  <si>
    <t>客戶編號</t>
  </si>
  <si>
    <t>格式為'EMP-S-流水號'，不得為空，S為銷售員</t>
  </si>
  <si>
    <t>負責業務編號</t>
  </si>
  <si>
    <t>order_date</t>
  </si>
  <si>
    <t>精確下單日期與時間</t>
  </si>
  <si>
    <t>required_date</t>
  </si>
  <si>
    <t>精確到時分秒的日期，不得為空，時間必須在order_date之後</t>
  </si>
  <si>
    <t>顧客要求之預計交期</t>
  </si>
  <si>
    <t>order_status</t>
  </si>
  <si>
    <t>只能選擇'草稿'、 '排產中'、 '待出貨'及 '已出貨'其中一個，不得為空，預設'草稿'</t>
  </si>
  <si>
    <t>訂單總體排產狀態</t>
  </si>
  <si>
    <t>payment_status</t>
  </si>
  <si>
    <t>只能選擇'未付款'及 '已付款'其中一個，預設為'未付款'，不得為空</t>
  </si>
  <si>
    <t>訂單付款狀態</t>
  </si>
  <si>
    <t>訂單主檔編號 (order_id)</t>
  </si>
  <si>
    <t>負責業務編號 (employee_id)</t>
  </si>
  <si>
    <t>下單日期與時間 (order_date)</t>
  </si>
  <si>
    <t>預計交期 (required_date)</t>
  </si>
  <si>
    <t>排產狀態 (order_status)</t>
  </si>
  <si>
    <t>C-2026-001</t>
  </si>
  <si>
    <t>EMP-S-01</t>
  </si>
  <si>
    <t>排產中</t>
  </si>
  <si>
    <t>C-2026-002</t>
  </si>
  <si>
    <t>EMP-S-02</t>
  </si>
  <si>
    <t>待出貨</t>
  </si>
  <si>
    <t>C-2026-004</t>
  </si>
  <si>
    <t>EMP-S-03</t>
  </si>
  <si>
    <t>O-2026-06-0005</t>
  </si>
  <si>
    <t>C-2026-005</t>
  </si>
  <si>
    <t>草稿</t>
  </si>
  <si>
    <t>已出貨</t>
  </si>
  <si>
    <t>C-2026-007</t>
  </si>
  <si>
    <t>O-2026-06-0008</t>
  </si>
  <si>
    <t>C-2026-008</t>
  </si>
  <si>
    <t>C-2026-009</t>
  </si>
  <si>
    <t>C-2026-011</t>
  </si>
  <si>
    <t>O-2026-06-0012</t>
  </si>
  <si>
    <t>C-2026-012</t>
  </si>
  <si>
    <t>O-2026-06-0013</t>
  </si>
  <si>
    <t>C-2026-013</t>
  </si>
  <si>
    <t>C-2026-015</t>
  </si>
  <si>
    <t>訂單編號（複合主鍵，對應銷售訂單）</t>
  </si>
  <si>
    <t>產品編號（複合主鍵，對應產品資料）</t>
  </si>
  <si>
    <t>大於0的整數，不得為空</t>
  </si>
  <si>
    <t>訂購數量</t>
  </si>
  <si>
    <t>unit_price</t>
  </si>
  <si>
    <t>10位(含小數點後4位)的高精度浮點數,必須&gt;0</t>
  </si>
  <si>
    <t>高精度單價（避免 Float 誤差）</t>
  </si>
  <si>
    <t>packaging_type</t>
  </si>
  <si>
    <t>只能選擇'一箱'、 '一包'及 '散裝'其中一個，不得為空，預設為'一箱'</t>
  </si>
  <si>
    <t>包裝方式（如：一箱、一包）</t>
  </si>
  <si>
    <t>production_status</t>
  </si>
  <si>
    <t>只能選擇'待進料'、 '打頭中'、 '搓牙中'、'待包裝'及'已完成'其中一個，不得為空，預設為'待進料'</t>
  </si>
  <si>
    <t>單項規格之工廠排產與生產進度（如：打頭、碾牙）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</si>
</sst>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7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>
      <c r="A2" s="1" t="s">
        <v>27</v>
      </c>
      <c r="B2" s="1" t="s">
        <v>28</v>
      </c>
      <c r="C2" s="1" t="s">
        <v>29</v>
      </c>
      <c r="D2" s="2">
        <f>+1-555-198</f>
        <v>-752</v>
      </c>
      <c r="E2" s="1" t="s">
        <v>30</v>
      </c>
      <c r="F2" s="3">
        <v>500000.0</v>
      </c>
    </row>
    <row r="3">
      <c r="A3" s="1" t="s">
        <v>31</v>
      </c>
      <c r="B3" s="1" t="s">
        <v>32</v>
      </c>
      <c r="C3" s="1" t="s">
        <v>33</v>
      </c>
      <c r="D3" s="2">
        <f>+49-30-123456</f>
        <v>-123437</v>
      </c>
      <c r="E3" s="1" t="s">
        <v>34</v>
      </c>
      <c r="F3" s="3">
        <v>800000.0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3">
        <v>3000000.0</v>
      </c>
    </row>
    <row r="5">
      <c r="A5" s="1" t="s">
        <v>40</v>
      </c>
      <c r="B5" s="1" t="s">
        <v>41</v>
      </c>
      <c r="C5" s="1" t="s">
        <v>42</v>
      </c>
      <c r="D5" s="2">
        <f>+1-212-555-143</f>
        <v>-909</v>
      </c>
      <c r="E5" s="1" t="s">
        <v>43</v>
      </c>
      <c r="F5" s="3">
        <v>1200000.0</v>
      </c>
    </row>
    <row r="6">
      <c r="A6" s="1" t="s">
        <v>44</v>
      </c>
      <c r="B6" s="1" t="s">
        <v>45</v>
      </c>
      <c r="C6" s="1" t="s">
        <v>46</v>
      </c>
      <c r="D6" s="2">
        <f>+46-8-7654321</f>
        <v>-7654283</v>
      </c>
      <c r="E6" s="1" t="s">
        <v>47</v>
      </c>
      <c r="F6" s="3">
        <v>450000.0</v>
      </c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3">
        <v>1500000.0</v>
      </c>
    </row>
    <row r="8">
      <c r="A8" s="1" t="s">
        <v>53</v>
      </c>
      <c r="B8" s="1" t="s">
        <v>54</v>
      </c>
      <c r="C8" s="1" t="s">
        <v>55</v>
      </c>
      <c r="D8" s="2">
        <f>+65-6123-4567</f>
        <v>-10625</v>
      </c>
      <c r="E8" s="1" t="s">
        <v>56</v>
      </c>
      <c r="F8" s="3">
        <v>600000.0</v>
      </c>
    </row>
    <row r="9">
      <c r="A9" s="1" t="s">
        <v>57</v>
      </c>
      <c r="B9" s="1" t="s">
        <v>58</v>
      </c>
      <c r="C9" s="1" t="s">
        <v>59</v>
      </c>
      <c r="D9" s="2">
        <f>+61-2-9876-5432</f>
        <v>-15249</v>
      </c>
      <c r="E9" s="1" t="s">
        <v>60</v>
      </c>
      <c r="F9" s="3">
        <v>350000.0</v>
      </c>
    </row>
    <row r="10">
      <c r="A10" s="1" t="s">
        <v>61</v>
      </c>
      <c r="B10" s="1" t="s">
        <v>62</v>
      </c>
      <c r="C10" s="1" t="s">
        <v>63</v>
      </c>
      <c r="D10" s="2">
        <f>+81-3-5555-1234</f>
        <v>-6711</v>
      </c>
      <c r="E10" s="1" t="s">
        <v>64</v>
      </c>
      <c r="F10" s="3">
        <v>2000000.0</v>
      </c>
    </row>
    <row r="11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3">
        <v>2500000.0</v>
      </c>
    </row>
    <row r="12">
      <c r="A12" s="1" t="s">
        <v>70</v>
      </c>
      <c r="B12" s="1" t="s">
        <v>71</v>
      </c>
      <c r="C12" s="1" t="s">
        <v>72</v>
      </c>
      <c r="D12" s="2">
        <f>+44-20-7946-192</f>
        <v>-8114</v>
      </c>
      <c r="E12" s="1" t="s">
        <v>73</v>
      </c>
      <c r="F12" s="3">
        <v>700000.0</v>
      </c>
    </row>
    <row r="13">
      <c r="A13" s="1" t="s">
        <v>74</v>
      </c>
      <c r="B13" s="1" t="s">
        <v>75</v>
      </c>
      <c r="C13" s="1" t="s">
        <v>76</v>
      </c>
      <c r="D13" s="2">
        <f>+1-514-555-177</f>
        <v>-1245</v>
      </c>
      <c r="E13" s="1" t="s">
        <v>77</v>
      </c>
      <c r="F13" s="3">
        <v>550000.0</v>
      </c>
    </row>
    <row r="14">
      <c r="A14" s="1" t="s">
        <v>78</v>
      </c>
      <c r="B14" s="1" t="s">
        <v>79</v>
      </c>
      <c r="C14" s="1" t="s">
        <v>80</v>
      </c>
      <c r="D14" s="2">
        <f>+52-55-1234-5678</f>
        <v>-6915</v>
      </c>
      <c r="E14" s="1" t="s">
        <v>81</v>
      </c>
      <c r="F14" s="3">
        <v>400000.0</v>
      </c>
    </row>
    <row r="1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3">
        <v>1800000.0</v>
      </c>
    </row>
    <row r="16">
      <c r="A16" s="1" t="s">
        <v>87</v>
      </c>
      <c r="B16" s="1" t="s">
        <v>88</v>
      </c>
      <c r="C16" s="1" t="s">
        <v>89</v>
      </c>
      <c r="D16" s="2">
        <f>+41-22-333-4455</f>
        <v>-4769</v>
      </c>
      <c r="E16" s="1" t="s">
        <v>90</v>
      </c>
      <c r="F16" s="3">
        <v>900000.0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>
      <c r="A2" s="1" t="s">
        <v>97</v>
      </c>
      <c r="B2" s="1" t="s">
        <v>98</v>
      </c>
      <c r="C2" s="1">
        <v>50.0</v>
      </c>
      <c r="D2" s="1">
        <v>1.2553</v>
      </c>
      <c r="E2" s="1" t="s">
        <v>99</v>
      </c>
      <c r="F2" s="1" t="s">
        <v>100</v>
      </c>
    </row>
    <row r="3">
      <c r="A3" s="1" t="s">
        <v>97</v>
      </c>
      <c r="B3" s="1" t="s">
        <v>101</v>
      </c>
      <c r="C3" s="1">
        <v>20.0</v>
      </c>
      <c r="D3" s="1">
        <v>2.4102</v>
      </c>
      <c r="E3" s="1" t="s">
        <v>99</v>
      </c>
      <c r="F3" s="1" t="s">
        <v>102</v>
      </c>
    </row>
    <row r="4">
      <c r="A4" s="1" t="s">
        <v>97</v>
      </c>
      <c r="B4" s="1" t="s">
        <v>103</v>
      </c>
      <c r="C4" s="1">
        <v>15.0</v>
      </c>
      <c r="D4" s="1">
        <v>4.85</v>
      </c>
      <c r="E4" s="1" t="s">
        <v>104</v>
      </c>
      <c r="F4" s="1" t="s">
        <v>102</v>
      </c>
    </row>
    <row r="5">
      <c r="A5" s="1" t="s">
        <v>105</v>
      </c>
      <c r="B5" s="1" t="s">
        <v>106</v>
      </c>
      <c r="C5" s="1">
        <v>100.0</v>
      </c>
      <c r="D5" s="1">
        <v>8.1255</v>
      </c>
      <c r="E5" s="1" t="s">
        <v>99</v>
      </c>
      <c r="F5" s="1" t="s">
        <v>107</v>
      </c>
    </row>
    <row r="6">
      <c r="A6" s="1" t="s">
        <v>105</v>
      </c>
      <c r="B6" s="1" t="s">
        <v>108</v>
      </c>
      <c r="C6" s="1">
        <v>30.0</v>
      </c>
      <c r="D6" s="1">
        <v>3.152</v>
      </c>
      <c r="E6" s="1" t="s">
        <v>99</v>
      </c>
      <c r="F6" s="1" t="s">
        <v>100</v>
      </c>
    </row>
    <row r="7">
      <c r="A7" s="1" t="s">
        <v>109</v>
      </c>
      <c r="B7" s="1" t="s">
        <v>110</v>
      </c>
      <c r="C7" s="1">
        <v>250.0</v>
      </c>
      <c r="D7" s="1">
        <v>120.045</v>
      </c>
      <c r="E7" s="1" t="s">
        <v>111</v>
      </c>
      <c r="F7" s="1" t="s">
        <v>112</v>
      </c>
    </row>
    <row r="8">
      <c r="A8" s="1" t="s">
        <v>113</v>
      </c>
      <c r="B8" s="1" t="s">
        <v>114</v>
      </c>
      <c r="C8" s="1">
        <v>200.0</v>
      </c>
      <c r="D8" s="1">
        <v>0.9515</v>
      </c>
      <c r="E8" s="1" t="s">
        <v>99</v>
      </c>
      <c r="F8" s="1" t="s">
        <v>100</v>
      </c>
    </row>
    <row r="9">
      <c r="A9" s="1" t="s">
        <v>115</v>
      </c>
      <c r="B9" s="1" t="s">
        <v>116</v>
      </c>
      <c r="C9" s="1">
        <v>500.0</v>
      </c>
      <c r="D9" s="1">
        <v>45.12</v>
      </c>
      <c r="E9" s="1" t="s">
        <v>111</v>
      </c>
      <c r="F9" s="1" t="s">
        <v>117</v>
      </c>
    </row>
    <row r="10">
      <c r="A10" s="1" t="s">
        <v>118</v>
      </c>
      <c r="B10" s="1" t="s">
        <v>119</v>
      </c>
      <c r="C10" s="1">
        <v>300.0</v>
      </c>
      <c r="D10" s="1">
        <v>35.2</v>
      </c>
      <c r="E10" s="1" t="s">
        <v>111</v>
      </c>
      <c r="F10" s="1" t="s">
        <v>107</v>
      </c>
    </row>
    <row r="11">
      <c r="A11" s="1" t="s">
        <v>120</v>
      </c>
      <c r="B11" s="1" t="s">
        <v>121</v>
      </c>
      <c r="C11" s="1">
        <v>80.0</v>
      </c>
      <c r="D11" s="1">
        <v>0.7853</v>
      </c>
      <c r="E11" s="1" t="s">
        <v>104</v>
      </c>
      <c r="F11" s="1" t="s">
        <v>112</v>
      </c>
    </row>
    <row r="12">
      <c r="A12" s="1" t="s">
        <v>122</v>
      </c>
      <c r="B12" s="1" t="s">
        <v>123</v>
      </c>
      <c r="C12" s="1">
        <v>150.0</v>
      </c>
      <c r="D12" s="1">
        <v>115.5</v>
      </c>
      <c r="E12" s="1" t="s">
        <v>111</v>
      </c>
      <c r="F12" s="1" t="s">
        <v>100</v>
      </c>
    </row>
    <row r="13">
      <c r="A13" s="1" t="s">
        <v>124</v>
      </c>
      <c r="B13" s="1" t="s">
        <v>125</v>
      </c>
      <c r="C13" s="1">
        <v>40.0</v>
      </c>
      <c r="D13" s="1">
        <v>2.8845</v>
      </c>
      <c r="E13" s="1" t="s">
        <v>99</v>
      </c>
      <c r="F13" s="1" t="s">
        <v>102</v>
      </c>
    </row>
    <row r="14">
      <c r="A14" s="1" t="s">
        <v>126</v>
      </c>
      <c r="B14" s="1" t="s">
        <v>127</v>
      </c>
      <c r="C14" s="1">
        <v>50.0</v>
      </c>
      <c r="D14" s="1">
        <v>0.521</v>
      </c>
      <c r="E14" s="1" t="s">
        <v>104</v>
      </c>
      <c r="F14" s="1" t="s">
        <v>107</v>
      </c>
    </row>
    <row r="15">
      <c r="A15" s="1" t="s">
        <v>126</v>
      </c>
      <c r="B15" s="1" t="s">
        <v>128</v>
      </c>
      <c r="C15" s="1">
        <v>100.0</v>
      </c>
      <c r="D15" s="1">
        <v>85.0</v>
      </c>
      <c r="E15" s="1" t="s">
        <v>111</v>
      </c>
      <c r="F15" s="1" t="s">
        <v>100</v>
      </c>
    </row>
    <row r="16">
      <c r="A16" s="1" t="s">
        <v>129</v>
      </c>
      <c r="B16" s="1" t="s">
        <v>130</v>
      </c>
      <c r="C16" s="1">
        <v>70.0</v>
      </c>
      <c r="D16" s="1">
        <v>3.628</v>
      </c>
      <c r="E16" s="1" t="s">
        <v>99</v>
      </c>
      <c r="F16" s="1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131</v>
      </c>
      <c r="B2" s="1" t="s">
        <v>132</v>
      </c>
      <c r="C2" s="1" t="s">
        <v>133</v>
      </c>
    </row>
    <row r="3">
      <c r="A3" s="1" t="s">
        <v>134</v>
      </c>
      <c r="B3" s="1" t="s">
        <v>7</v>
      </c>
      <c r="C3" s="1" t="s">
        <v>135</v>
      </c>
    </row>
    <row r="4">
      <c r="A4" s="1" t="s">
        <v>136</v>
      </c>
      <c r="B4" s="1" t="s">
        <v>137</v>
      </c>
      <c r="C4" s="1" t="s">
        <v>138</v>
      </c>
    </row>
    <row r="5">
      <c r="A5" s="1" t="s">
        <v>139</v>
      </c>
      <c r="B5" s="1" t="s">
        <v>140</v>
      </c>
      <c r="C5" s="1" t="s">
        <v>141</v>
      </c>
    </row>
    <row r="6">
      <c r="A6" s="1" t="s">
        <v>142</v>
      </c>
      <c r="B6" s="1" t="s">
        <v>143</v>
      </c>
      <c r="C6" s="1" t="s">
        <v>144</v>
      </c>
    </row>
    <row r="7">
      <c r="A7" s="1" t="s">
        <v>145</v>
      </c>
      <c r="B7" s="1" t="s">
        <v>146</v>
      </c>
      <c r="C7" s="1" t="s">
        <v>147</v>
      </c>
    </row>
    <row r="8">
      <c r="A8" s="1" t="s">
        <v>148</v>
      </c>
      <c r="B8" s="1" t="s">
        <v>149</v>
      </c>
      <c r="C8" s="1" t="s">
        <v>150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151</v>
      </c>
      <c r="B1" s="1" t="s">
        <v>152</v>
      </c>
      <c r="C1" s="1" t="s">
        <v>92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s="1" t="s">
        <v>157</v>
      </c>
      <c r="B2" s="1" t="s">
        <v>158</v>
      </c>
      <c r="C2" s="1" t="s">
        <v>98</v>
      </c>
      <c r="D2" s="1">
        <v>500.0</v>
      </c>
      <c r="E2" s="3">
        <v>45000.0</v>
      </c>
      <c r="F2" s="4">
        <v>46157.375</v>
      </c>
      <c r="G2" s="1" t="s">
        <v>159</v>
      </c>
    </row>
    <row r="3">
      <c r="A3" s="1" t="s">
        <v>160</v>
      </c>
      <c r="B3" s="1" t="s">
        <v>161</v>
      </c>
      <c r="C3" s="1" t="s">
        <v>103</v>
      </c>
      <c r="D3" s="1">
        <v>300.0</v>
      </c>
      <c r="E3" s="3">
        <v>38000.0</v>
      </c>
      <c r="F3" s="4">
        <v>46158.4375</v>
      </c>
      <c r="G3" s="1" t="s">
        <v>159</v>
      </c>
    </row>
    <row r="4">
      <c r="A4" s="1" t="s">
        <v>162</v>
      </c>
      <c r="B4" s="1" t="s">
        <v>163</v>
      </c>
      <c r="C4" s="1" t="s">
        <v>106</v>
      </c>
      <c r="D4" s="1">
        <v>1000.0</v>
      </c>
      <c r="E4" s="3">
        <v>125000.0</v>
      </c>
      <c r="F4" s="4">
        <v>46160.59375</v>
      </c>
      <c r="G4" s="1" t="s">
        <v>164</v>
      </c>
    </row>
    <row r="5">
      <c r="A5" s="1" t="s">
        <v>165</v>
      </c>
      <c r="B5" s="1" t="s">
        <v>166</v>
      </c>
      <c r="C5" s="1" t="s">
        <v>110</v>
      </c>
      <c r="D5" s="1">
        <v>800.0</v>
      </c>
      <c r="E5" s="3">
        <v>72000.0</v>
      </c>
      <c r="F5" s="4">
        <v>46162.458333333336</v>
      </c>
      <c r="G5" s="1" t="s">
        <v>159</v>
      </c>
    </row>
    <row r="6">
      <c r="A6" s="1" t="s">
        <v>167</v>
      </c>
      <c r="B6" s="1" t="s">
        <v>168</v>
      </c>
      <c r="C6" s="1" t="s">
        <v>116</v>
      </c>
      <c r="D6" s="1">
        <v>200.0</v>
      </c>
      <c r="E6" s="3">
        <v>29000.0</v>
      </c>
      <c r="F6" s="4">
        <v>46164.697916666664</v>
      </c>
      <c r="G6" s="1" t="s">
        <v>164</v>
      </c>
    </row>
    <row r="7">
      <c r="A7" s="1" t="s">
        <v>169</v>
      </c>
      <c r="B7" s="1" t="s">
        <v>158</v>
      </c>
      <c r="C7" s="1" t="s">
        <v>123</v>
      </c>
      <c r="D7" s="1">
        <v>1200.0</v>
      </c>
      <c r="E7" s="3">
        <v>144000.0</v>
      </c>
      <c r="F7" s="4">
        <v>46167.354166666664</v>
      </c>
      <c r="G7" s="1" t="s">
        <v>159</v>
      </c>
    </row>
    <row r="8">
      <c r="A8" s="1" t="s">
        <v>170</v>
      </c>
      <c r="B8" s="1" t="s">
        <v>161</v>
      </c>
      <c r="C8" s="1" t="s">
        <v>128</v>
      </c>
      <c r="D8" s="1">
        <v>150.0</v>
      </c>
      <c r="E8" s="3">
        <v>31000.0</v>
      </c>
      <c r="F8" s="4">
        <v>46168.54861111111</v>
      </c>
      <c r="G8" s="1" t="s">
        <v>164</v>
      </c>
    </row>
    <row r="9">
      <c r="A9" s="1" t="s">
        <v>171</v>
      </c>
      <c r="B9" s="1" t="s">
        <v>172</v>
      </c>
      <c r="C9" s="1" t="s">
        <v>101</v>
      </c>
      <c r="D9" s="1">
        <v>400.0</v>
      </c>
      <c r="E9" s="3">
        <v>32000.0</v>
      </c>
      <c r="F9" s="4">
        <v>46170.416666666664</v>
      </c>
      <c r="G9" s="1" t="s">
        <v>159</v>
      </c>
    </row>
    <row r="10">
      <c r="A10" s="1" t="s">
        <v>173</v>
      </c>
      <c r="B10" s="1" t="s">
        <v>163</v>
      </c>
      <c r="C10" s="1" t="s">
        <v>108</v>
      </c>
      <c r="D10" s="1">
        <v>600.0</v>
      </c>
      <c r="E10" s="3">
        <v>58000.0</v>
      </c>
      <c r="F10" s="4">
        <v>46171.63888888889</v>
      </c>
      <c r="G10" s="1" t="s">
        <v>164</v>
      </c>
    </row>
    <row r="11">
      <c r="A11" s="1" t="s">
        <v>174</v>
      </c>
      <c r="B11" s="1" t="s">
        <v>166</v>
      </c>
      <c r="C11" s="1" t="s">
        <v>114</v>
      </c>
      <c r="D11" s="1">
        <v>350.0</v>
      </c>
      <c r="E11" s="3">
        <v>24500.0</v>
      </c>
      <c r="F11" s="4">
        <v>46174.40625</v>
      </c>
      <c r="G11" s="1" t="s">
        <v>159</v>
      </c>
    </row>
    <row r="12">
      <c r="A12" s="1" t="s">
        <v>175</v>
      </c>
      <c r="B12" s="1" t="s">
        <v>168</v>
      </c>
      <c r="C12" s="1" t="s">
        <v>119</v>
      </c>
      <c r="D12" s="1">
        <v>500.0</v>
      </c>
      <c r="E12" s="3">
        <v>61000.0</v>
      </c>
      <c r="F12" s="4">
        <v>46175.46875</v>
      </c>
      <c r="G12" s="1" t="s">
        <v>164</v>
      </c>
    </row>
    <row r="13">
      <c r="A13" s="1" t="s">
        <v>176</v>
      </c>
      <c r="B13" s="1" t="s">
        <v>158</v>
      </c>
      <c r="C13" s="1" t="s">
        <v>121</v>
      </c>
      <c r="D13" s="1">
        <v>250.0</v>
      </c>
      <c r="E13" s="3">
        <v>19500.0</v>
      </c>
      <c r="F13" s="4">
        <v>46176.583333333336</v>
      </c>
      <c r="G13" s="1" t="s">
        <v>159</v>
      </c>
    </row>
    <row r="14">
      <c r="A14" s="1" t="s">
        <v>177</v>
      </c>
      <c r="B14" s="1" t="s">
        <v>161</v>
      </c>
      <c r="C14" s="1" t="s">
        <v>125</v>
      </c>
      <c r="D14" s="1">
        <v>450.0</v>
      </c>
      <c r="E14" s="3">
        <v>41000.0</v>
      </c>
      <c r="F14" s="4">
        <v>46177.666666666664</v>
      </c>
      <c r="G14" s="1" t="s">
        <v>164</v>
      </c>
    </row>
    <row r="15">
      <c r="A15" s="1" t="s">
        <v>178</v>
      </c>
      <c r="B15" s="1" t="s">
        <v>179</v>
      </c>
      <c r="C15" s="1" t="s">
        <v>127</v>
      </c>
      <c r="D15" s="1">
        <v>300.0</v>
      </c>
      <c r="E15" s="3">
        <v>21000.0</v>
      </c>
      <c r="F15" s="4">
        <v>46178.4375</v>
      </c>
      <c r="G15" s="1" t="s">
        <v>159</v>
      </c>
    </row>
    <row r="16">
      <c r="A16" s="1" t="s">
        <v>180</v>
      </c>
      <c r="B16" s="1" t="s">
        <v>163</v>
      </c>
      <c r="C16" s="1" t="s">
        <v>130</v>
      </c>
      <c r="D16" s="1">
        <v>700.0</v>
      </c>
      <c r="E16" s="3">
        <v>78000.0</v>
      </c>
      <c r="F16" s="4">
        <v>46179.572916666664</v>
      </c>
      <c r="G16" s="1" t="s">
        <v>164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136</v>
      </c>
      <c r="B2" s="1" t="s">
        <v>137</v>
      </c>
      <c r="C2" s="1" t="s">
        <v>181</v>
      </c>
    </row>
    <row r="3">
      <c r="A3" s="1" t="s">
        <v>182</v>
      </c>
      <c r="B3" s="1" t="s">
        <v>183</v>
      </c>
      <c r="C3" s="1" t="s">
        <v>184</v>
      </c>
    </row>
    <row r="4">
      <c r="A4" s="1" t="s">
        <v>185</v>
      </c>
      <c r="B4" s="1" t="s">
        <v>186</v>
      </c>
      <c r="C4" s="1" t="s">
        <v>187</v>
      </c>
    </row>
    <row r="5">
      <c r="A5" s="1" t="s">
        <v>188</v>
      </c>
      <c r="B5" s="1" t="s">
        <v>183</v>
      </c>
      <c r="C5" s="1" t="s">
        <v>189</v>
      </c>
    </row>
    <row r="6">
      <c r="A6" s="1" t="s">
        <v>190</v>
      </c>
      <c r="B6" s="1" t="s">
        <v>191</v>
      </c>
      <c r="C6" s="1" t="s">
        <v>192</v>
      </c>
    </row>
    <row r="7">
      <c r="A7" s="1" t="s">
        <v>193</v>
      </c>
      <c r="B7" s="1" t="s">
        <v>194</v>
      </c>
      <c r="C7" s="1" t="s">
        <v>195</v>
      </c>
    </row>
    <row r="8">
      <c r="A8" s="1" t="s">
        <v>196</v>
      </c>
      <c r="B8" s="1" t="s">
        <v>197</v>
      </c>
      <c r="C8" s="1" t="s">
        <v>198</v>
      </c>
    </row>
    <row r="9">
      <c r="A9" s="1" t="s">
        <v>199</v>
      </c>
      <c r="B9" s="1" t="s">
        <v>200</v>
      </c>
      <c r="C9" s="1" t="s">
        <v>201</v>
      </c>
    </row>
    <row r="10">
      <c r="A10" s="1" t="s">
        <v>202</v>
      </c>
      <c r="B10" s="1" t="s">
        <v>203</v>
      </c>
      <c r="C10" s="1" t="s">
        <v>204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>
      <c r="A2" s="1" t="s">
        <v>98</v>
      </c>
      <c r="B2" s="1">
        <v>304.0</v>
      </c>
      <c r="C2" s="1" t="s">
        <v>213</v>
      </c>
      <c r="D2" s="1" t="s">
        <v>214</v>
      </c>
      <c r="E2" s="1" t="s">
        <v>215</v>
      </c>
      <c r="F2" s="1" t="s">
        <v>216</v>
      </c>
      <c r="G2" s="1">
        <v>20.0</v>
      </c>
      <c r="H2" s="1" t="s">
        <v>217</v>
      </c>
      <c r="I2" s="1">
        <v>1.0E8</v>
      </c>
    </row>
    <row r="3">
      <c r="A3" s="1" t="s">
        <v>101</v>
      </c>
      <c r="B3" s="1">
        <v>304.0</v>
      </c>
      <c r="C3" s="1" t="s">
        <v>213</v>
      </c>
      <c r="D3" s="1" t="s">
        <v>218</v>
      </c>
      <c r="E3" s="1" t="s">
        <v>215</v>
      </c>
      <c r="F3" s="1" t="s">
        <v>219</v>
      </c>
      <c r="G3" s="1">
        <v>25.0</v>
      </c>
      <c r="H3" s="1" t="s">
        <v>217</v>
      </c>
      <c r="I3" s="1">
        <v>380.0</v>
      </c>
    </row>
    <row r="4">
      <c r="A4" s="1" t="s">
        <v>103</v>
      </c>
      <c r="B4" s="1">
        <v>316.0</v>
      </c>
      <c r="C4" s="1" t="s">
        <v>213</v>
      </c>
      <c r="D4" s="1" t="s">
        <v>220</v>
      </c>
      <c r="E4" s="1" t="s">
        <v>215</v>
      </c>
      <c r="F4" s="1" t="s">
        <v>221</v>
      </c>
      <c r="G4" s="1">
        <v>30.0</v>
      </c>
      <c r="H4" s="1" t="s">
        <v>217</v>
      </c>
      <c r="I4" s="1">
        <v>285.0</v>
      </c>
    </row>
    <row r="5">
      <c r="A5" s="1" t="s">
        <v>106</v>
      </c>
      <c r="B5" s="1">
        <v>316.0</v>
      </c>
      <c r="C5" s="1" t="s">
        <v>213</v>
      </c>
      <c r="D5" s="1" t="s">
        <v>222</v>
      </c>
      <c r="E5" s="1" t="s">
        <v>223</v>
      </c>
      <c r="F5" s="1" t="s">
        <v>224</v>
      </c>
      <c r="G5" s="1">
        <v>40.0</v>
      </c>
      <c r="H5" s="1" t="s">
        <v>217</v>
      </c>
      <c r="I5" s="1">
        <v>900.0</v>
      </c>
    </row>
    <row r="6">
      <c r="A6" s="1" t="s">
        <v>108</v>
      </c>
      <c r="B6" s="1">
        <v>304.0</v>
      </c>
      <c r="C6" s="1" t="s">
        <v>225</v>
      </c>
      <c r="D6" s="5">
        <v>46113.0</v>
      </c>
      <c r="E6" s="1" t="s">
        <v>215</v>
      </c>
      <c r="F6" s="1" t="s">
        <v>226</v>
      </c>
      <c r="G6" s="1">
        <v>38.1</v>
      </c>
      <c r="H6" s="1" t="s">
        <v>217</v>
      </c>
      <c r="I6" s="1">
        <v>570.0</v>
      </c>
    </row>
    <row r="7">
      <c r="A7" s="1" t="s">
        <v>110</v>
      </c>
      <c r="B7" s="1">
        <v>316.0</v>
      </c>
      <c r="C7" s="1" t="s">
        <v>225</v>
      </c>
      <c r="D7" s="5">
        <v>46089.0</v>
      </c>
      <c r="E7" s="1" t="s">
        <v>215</v>
      </c>
      <c r="F7" s="1" t="s">
        <v>227</v>
      </c>
      <c r="G7" s="1">
        <v>50.8</v>
      </c>
      <c r="H7" s="1" t="s">
        <v>228</v>
      </c>
      <c r="I7" s="1">
        <v>550.0</v>
      </c>
    </row>
    <row r="8">
      <c r="A8" s="1" t="s">
        <v>114</v>
      </c>
      <c r="B8" s="1">
        <v>304.0</v>
      </c>
      <c r="C8" s="1" t="s">
        <v>229</v>
      </c>
      <c r="D8" s="1" t="s">
        <v>230</v>
      </c>
      <c r="E8" s="1" t="s">
        <v>231</v>
      </c>
      <c r="F8" s="1" t="s">
        <v>232</v>
      </c>
      <c r="G8" s="1">
        <v>19.05</v>
      </c>
      <c r="H8" s="1" t="s">
        <v>217</v>
      </c>
      <c r="I8" s="1">
        <v>150.0</v>
      </c>
    </row>
    <row r="9">
      <c r="A9" s="1" t="s">
        <v>116</v>
      </c>
      <c r="B9" s="1">
        <v>304.0</v>
      </c>
      <c r="C9" s="1" t="s">
        <v>229</v>
      </c>
      <c r="D9" s="5">
        <v>46024.0</v>
      </c>
      <c r="E9" s="1" t="s">
        <v>215</v>
      </c>
      <c r="F9" s="1" t="s">
        <v>233</v>
      </c>
      <c r="G9" s="1">
        <v>76.2</v>
      </c>
      <c r="H9" s="1" t="s">
        <v>234</v>
      </c>
      <c r="I9" s="1">
        <v>100.0</v>
      </c>
    </row>
    <row r="10">
      <c r="A10" s="1" t="s">
        <v>119</v>
      </c>
      <c r="B10" s="1">
        <v>316.0</v>
      </c>
      <c r="C10" s="1" t="s">
        <v>213</v>
      </c>
      <c r="D10" s="1" t="s">
        <v>235</v>
      </c>
      <c r="E10" s="1" t="s">
        <v>215</v>
      </c>
      <c r="F10" s="1" t="s">
        <v>236</v>
      </c>
      <c r="G10" s="1">
        <v>50.0</v>
      </c>
      <c r="H10" s="1" t="s">
        <v>234</v>
      </c>
      <c r="I10" s="1">
        <v>200.0</v>
      </c>
    </row>
    <row r="11">
      <c r="A11" s="1" t="s">
        <v>121</v>
      </c>
      <c r="B11" s="1">
        <v>304.0</v>
      </c>
      <c r="C11" s="1" t="s">
        <v>213</v>
      </c>
      <c r="D11" s="1" t="s">
        <v>237</v>
      </c>
      <c r="E11" s="1" t="s">
        <v>223</v>
      </c>
      <c r="F11" s="1" t="s">
        <v>238</v>
      </c>
      <c r="G11" s="1">
        <v>15.0</v>
      </c>
      <c r="H11" s="1" t="s">
        <v>217</v>
      </c>
      <c r="I11" s="1">
        <v>170.0</v>
      </c>
    </row>
    <row r="12">
      <c r="A12" s="1" t="s">
        <v>123</v>
      </c>
      <c r="B12" s="1">
        <v>304.0</v>
      </c>
      <c r="C12" s="1" t="s">
        <v>213</v>
      </c>
      <c r="D12" s="1" t="s">
        <v>239</v>
      </c>
      <c r="E12" s="1" t="s">
        <v>215</v>
      </c>
      <c r="F12" s="1" t="s">
        <v>240</v>
      </c>
      <c r="G12" s="1">
        <v>100.0</v>
      </c>
      <c r="H12" s="1" t="s">
        <v>228</v>
      </c>
      <c r="I12" s="1">
        <v>1050.0</v>
      </c>
    </row>
    <row r="13">
      <c r="A13" s="1" t="s">
        <v>125</v>
      </c>
      <c r="B13" s="1">
        <v>316.0</v>
      </c>
      <c r="C13" s="1" t="s">
        <v>229</v>
      </c>
      <c r="D13" s="1" t="s">
        <v>241</v>
      </c>
      <c r="E13" s="1" t="s">
        <v>215</v>
      </c>
      <c r="F13" s="1" t="s">
        <v>242</v>
      </c>
      <c r="G13" s="1">
        <v>25.4</v>
      </c>
      <c r="H13" s="1" t="s">
        <v>217</v>
      </c>
      <c r="I13" s="1">
        <v>410.0</v>
      </c>
    </row>
    <row r="14">
      <c r="A14" s="1" t="s">
        <v>127</v>
      </c>
      <c r="B14" s="1">
        <v>304.0</v>
      </c>
      <c r="C14" s="1" t="s">
        <v>213</v>
      </c>
      <c r="D14" s="1" t="s">
        <v>243</v>
      </c>
      <c r="E14" s="1" t="s">
        <v>231</v>
      </c>
      <c r="F14" s="1" t="s">
        <v>244</v>
      </c>
      <c r="G14" s="1">
        <v>12.0</v>
      </c>
      <c r="H14" s="1" t="s">
        <v>217</v>
      </c>
      <c r="I14" s="1">
        <v>250.0</v>
      </c>
    </row>
    <row r="15">
      <c r="A15" s="1" t="s">
        <v>128</v>
      </c>
      <c r="B15" s="1">
        <v>316.0</v>
      </c>
      <c r="C15" s="1" t="s">
        <v>213</v>
      </c>
      <c r="D15" s="1" t="s">
        <v>245</v>
      </c>
      <c r="E15" s="1" t="s">
        <v>215</v>
      </c>
      <c r="F15" s="1" t="s">
        <v>246</v>
      </c>
      <c r="G15" s="1">
        <v>150.0</v>
      </c>
      <c r="H15" s="1" t="s">
        <v>234</v>
      </c>
      <c r="I15" s="1">
        <v>50.0</v>
      </c>
    </row>
    <row r="16">
      <c r="A16" s="1" t="s">
        <v>130</v>
      </c>
      <c r="B16" s="1">
        <v>304.0</v>
      </c>
      <c r="C16" s="1" t="s">
        <v>225</v>
      </c>
      <c r="D16" s="5">
        <v>46158.0</v>
      </c>
      <c r="E16" s="1" t="s">
        <v>223</v>
      </c>
      <c r="F16" s="1" t="s">
        <v>247</v>
      </c>
      <c r="G16" s="1">
        <v>31.75</v>
      </c>
      <c r="H16" s="1" t="s">
        <v>217</v>
      </c>
      <c r="I16" s="1">
        <v>630.0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248</v>
      </c>
      <c r="B2" s="1" t="s">
        <v>249</v>
      </c>
      <c r="C2" s="1" t="s">
        <v>250</v>
      </c>
    </row>
    <row r="3">
      <c r="A3" s="1" t="s">
        <v>3</v>
      </c>
      <c r="B3" s="1" t="s">
        <v>4</v>
      </c>
      <c r="C3" s="1" t="s">
        <v>251</v>
      </c>
    </row>
    <row r="4">
      <c r="A4" s="1" t="s">
        <v>148</v>
      </c>
      <c r="B4" s="1" t="s">
        <v>252</v>
      </c>
      <c r="C4" s="1" t="s">
        <v>253</v>
      </c>
    </row>
    <row r="5">
      <c r="A5" s="1" t="s">
        <v>254</v>
      </c>
      <c r="B5" s="1" t="s">
        <v>146</v>
      </c>
      <c r="C5" s="1" t="s">
        <v>255</v>
      </c>
    </row>
    <row r="6">
      <c r="A6" s="1" t="s">
        <v>256</v>
      </c>
      <c r="B6" s="1" t="s">
        <v>257</v>
      </c>
      <c r="C6" s="1" t="s">
        <v>258</v>
      </c>
    </row>
    <row r="7">
      <c r="A7" s="1" t="s">
        <v>259</v>
      </c>
      <c r="B7" s="1" t="s">
        <v>260</v>
      </c>
      <c r="C7" s="1" t="s">
        <v>261</v>
      </c>
    </row>
    <row r="8">
      <c r="A8" s="1" t="s">
        <v>262</v>
      </c>
      <c r="B8" s="1" t="s">
        <v>263</v>
      </c>
      <c r="C8" s="1" t="s">
        <v>264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265</v>
      </c>
      <c r="B1" s="1" t="s">
        <v>21</v>
      </c>
      <c r="C1" s="1" t="s">
        <v>266</v>
      </c>
      <c r="D1" s="1" t="s">
        <v>267</v>
      </c>
      <c r="E1" s="1" t="s">
        <v>268</v>
      </c>
      <c r="F1" s="1" t="s">
        <v>269</v>
      </c>
    </row>
    <row r="2">
      <c r="A2" s="1" t="s">
        <v>97</v>
      </c>
      <c r="B2" s="1" t="s">
        <v>270</v>
      </c>
      <c r="C2" s="1" t="s">
        <v>271</v>
      </c>
      <c r="D2" s="4">
        <v>46174.395833333336</v>
      </c>
      <c r="E2" s="4">
        <v>46218.708333333336</v>
      </c>
      <c r="F2" s="1" t="s">
        <v>272</v>
      </c>
    </row>
    <row r="3">
      <c r="A3" s="1" t="s">
        <v>105</v>
      </c>
      <c r="B3" s="1" t="s">
        <v>273</v>
      </c>
      <c r="C3" s="1" t="s">
        <v>274</v>
      </c>
      <c r="D3" s="4">
        <v>46174.59400462963</v>
      </c>
      <c r="E3" s="4">
        <v>46233.5</v>
      </c>
      <c r="F3" s="1" t="s">
        <v>272</v>
      </c>
    </row>
    <row r="4">
      <c r="A4" s="1" t="s">
        <v>109</v>
      </c>
      <c r="B4" s="1" t="s">
        <v>35</v>
      </c>
      <c r="C4" s="1" t="s">
        <v>271</v>
      </c>
      <c r="D4" s="4">
        <v>46175.41679398148</v>
      </c>
      <c r="E4" s="4">
        <v>46198.75</v>
      </c>
      <c r="F4" s="1" t="s">
        <v>275</v>
      </c>
    </row>
    <row r="5">
      <c r="A5" s="1" t="s">
        <v>113</v>
      </c>
      <c r="B5" s="1" t="s">
        <v>276</v>
      </c>
      <c r="C5" s="1" t="s">
        <v>277</v>
      </c>
      <c r="D5" s="4">
        <v>46176.489583333336</v>
      </c>
      <c r="E5" s="4">
        <v>46239.708333333336</v>
      </c>
      <c r="F5" s="1" t="s">
        <v>272</v>
      </c>
    </row>
    <row r="6">
      <c r="A6" s="1" t="s">
        <v>278</v>
      </c>
      <c r="B6" s="1" t="s">
        <v>279</v>
      </c>
      <c r="C6" s="1" t="s">
        <v>274</v>
      </c>
      <c r="D6" s="4">
        <v>46177.68096064815</v>
      </c>
      <c r="E6" s="4">
        <v>46223.6875</v>
      </c>
      <c r="F6" s="1" t="s">
        <v>280</v>
      </c>
    </row>
    <row r="7">
      <c r="A7" s="1" t="s">
        <v>115</v>
      </c>
      <c r="B7" s="1" t="s">
        <v>48</v>
      </c>
      <c r="C7" s="1" t="s">
        <v>271</v>
      </c>
      <c r="D7" s="4">
        <v>46178.371666666666</v>
      </c>
      <c r="E7" s="4">
        <v>46193.5</v>
      </c>
      <c r="F7" s="1" t="s">
        <v>281</v>
      </c>
    </row>
    <row r="8">
      <c r="A8" s="1" t="s">
        <v>118</v>
      </c>
      <c r="B8" s="1" t="s">
        <v>282</v>
      </c>
      <c r="C8" s="1" t="s">
        <v>277</v>
      </c>
      <c r="D8" s="4">
        <v>46178.569444444445</v>
      </c>
      <c r="E8" s="4">
        <v>46213.708333333336</v>
      </c>
      <c r="F8" s="1" t="s">
        <v>272</v>
      </c>
    </row>
    <row r="9">
      <c r="A9" s="1" t="s">
        <v>283</v>
      </c>
      <c r="B9" s="1" t="s">
        <v>284</v>
      </c>
      <c r="C9" s="1" t="s">
        <v>274</v>
      </c>
      <c r="D9" s="4">
        <v>46179.42361111111</v>
      </c>
      <c r="E9" s="4">
        <v>46244.708333333336</v>
      </c>
      <c r="F9" s="1" t="s">
        <v>280</v>
      </c>
    </row>
    <row r="10">
      <c r="A10" s="1" t="s">
        <v>120</v>
      </c>
      <c r="B10" s="1" t="s">
        <v>285</v>
      </c>
      <c r="C10" s="1" t="s">
        <v>271</v>
      </c>
      <c r="D10" s="4">
        <v>46179.64635416667</v>
      </c>
      <c r="E10" s="4">
        <v>46208.5</v>
      </c>
      <c r="F10" s="1" t="s">
        <v>275</v>
      </c>
    </row>
    <row r="11">
      <c r="A11" s="1" t="s">
        <v>122</v>
      </c>
      <c r="B11" s="1" t="s">
        <v>65</v>
      </c>
      <c r="C11" s="1" t="s">
        <v>277</v>
      </c>
      <c r="D11" s="4">
        <v>46180.375</v>
      </c>
      <c r="E11" s="4">
        <v>46203.75</v>
      </c>
      <c r="F11" s="1" t="s">
        <v>272</v>
      </c>
    </row>
    <row r="12">
      <c r="A12" s="1" t="s">
        <v>124</v>
      </c>
      <c r="B12" s="1" t="s">
        <v>286</v>
      </c>
      <c r="C12" s="1" t="s">
        <v>274</v>
      </c>
      <c r="D12" s="4">
        <v>46180.47383101852</v>
      </c>
      <c r="E12" s="4">
        <v>46235.708333333336</v>
      </c>
      <c r="F12" s="1" t="s">
        <v>272</v>
      </c>
    </row>
    <row r="13">
      <c r="A13" s="1" t="s">
        <v>287</v>
      </c>
      <c r="B13" s="1" t="s">
        <v>288</v>
      </c>
      <c r="C13" s="1" t="s">
        <v>271</v>
      </c>
      <c r="D13" s="4">
        <v>46181.586805555555</v>
      </c>
      <c r="E13" s="4">
        <v>46228.708333333336</v>
      </c>
      <c r="F13" s="1" t="s">
        <v>280</v>
      </c>
    </row>
    <row r="14">
      <c r="A14" s="1" t="s">
        <v>289</v>
      </c>
      <c r="B14" s="1" t="s">
        <v>290</v>
      </c>
      <c r="C14" s="1" t="s">
        <v>277</v>
      </c>
      <c r="D14" s="4">
        <v>46181.70177083334</v>
      </c>
      <c r="E14" s="4">
        <v>46249.5</v>
      </c>
      <c r="F14" s="1" t="s">
        <v>280</v>
      </c>
    </row>
    <row r="15">
      <c r="A15" s="1" t="s">
        <v>126</v>
      </c>
      <c r="B15" s="1" t="s">
        <v>82</v>
      </c>
      <c r="C15" s="1" t="s">
        <v>271</v>
      </c>
      <c r="D15" s="4">
        <v>46182.4375</v>
      </c>
      <c r="E15" s="4">
        <v>46201.708333333336</v>
      </c>
      <c r="F15" s="1" t="s">
        <v>272</v>
      </c>
    </row>
    <row r="16">
      <c r="A16" s="1" t="s">
        <v>129</v>
      </c>
      <c r="B16" s="1" t="s">
        <v>291</v>
      </c>
      <c r="C16" s="1" t="s">
        <v>274</v>
      </c>
      <c r="D16" s="4">
        <v>46182.552083333336</v>
      </c>
      <c r="E16" s="4">
        <v>46221.666666666664</v>
      </c>
      <c r="F16" s="1" t="s">
        <v>272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248</v>
      </c>
      <c r="B2" s="1" t="s">
        <v>249</v>
      </c>
      <c r="C2" s="1" t="s">
        <v>292</v>
      </c>
    </row>
    <row r="3">
      <c r="A3" s="1" t="s">
        <v>136</v>
      </c>
      <c r="B3" s="1" t="s">
        <v>137</v>
      </c>
      <c r="C3" s="1" t="s">
        <v>293</v>
      </c>
    </row>
    <row r="4">
      <c r="A4" s="1" t="s">
        <v>139</v>
      </c>
      <c r="B4" s="1" t="s">
        <v>294</v>
      </c>
      <c r="C4" s="1" t="s">
        <v>295</v>
      </c>
    </row>
    <row r="5">
      <c r="A5" s="1" t="s">
        <v>296</v>
      </c>
      <c r="B5" s="1" t="s">
        <v>297</v>
      </c>
      <c r="C5" s="1" t="s">
        <v>298</v>
      </c>
    </row>
    <row r="6">
      <c r="A6" s="1" t="s">
        <v>299</v>
      </c>
      <c r="B6" s="1" t="s">
        <v>300</v>
      </c>
      <c r="C6" s="1" t="s">
        <v>301</v>
      </c>
    </row>
    <row r="7">
      <c r="A7" s="1" t="s">
        <v>302</v>
      </c>
      <c r="B7" s="1" t="s">
        <v>303</v>
      </c>
      <c r="C7" s="1" t="s">
        <v>304</v>
      </c>
    </row>
  </sheetData>
  <drawing r:id="rId1"/>
</worksheet>
</file>